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edf9255082a94/Área de Trabalho/curso excel/"/>
    </mc:Choice>
  </mc:AlternateContent>
  <xr:revisionPtr revIDLastSave="0" documentId="8_{D3ABB624-EE68-45A6-81C1-8E507D848FBC}" xr6:coauthVersionLast="47" xr6:coauthVersionMax="47" xr10:uidLastSave="{00000000-0000-0000-0000-000000000000}"/>
  <bookViews>
    <workbookView xWindow="-120" yWindow="-120" windowWidth="20730" windowHeight="11040" tabRatio="24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  <c r="D24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<sst xmlns="http://schemas.openxmlformats.org/spreadsheetml/2006/main" count="2022" uniqueCount="324">
  <si>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</si>
  <si>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</si>
  <si>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</si>
  <si>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</si>
  <si>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</si>
  <si>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</si>
  <si>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</si>
  <si>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</si>
  <si>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</si>
  <si>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</si>
  <si>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</si>
  <si>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</si>
  <si>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</si>
  <si>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</si>
  <si>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</si>
  <si>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</si>
  <si>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</si>
  <si>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</si>
  <si>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</si>
  <si>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</si>
  <si>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</si>
  <si>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</si>
  <si>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</si>
  <si>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</si>
  <si>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</si>
  <si>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</si>
  <si>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</si>
  <si>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</si>
  <si>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</si>
  <si>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</si>
  <si>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</si>
  <si>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</si>
  <si>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</si>
  <si>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</si>
  <si>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</si>
  <si>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</si>
  <si>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</si>
  <si>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</si>
  <si>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</si>
  <si>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</si>
  <si>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</si>
  <si>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</si>
  <si>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</si>
  <si>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</si>
  <si>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</si>
  <si>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</si>
  <si>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</si>
  <si>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</si>
  <si>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</si>
  <si>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</si>
  <si>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</si>
  <si>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</si>
  <si>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</si>
  <si>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</si>
  <si>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</si>
  <si>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</si>
  <si>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</si>
  <si>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</si>
  <si>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</si>
  <si>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</si>
  <si>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</si>
  <si>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</si>
  <si>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</si>
  <si>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</si>
  <si>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</si>
  <si>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</si>
  <si>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</si>
  <si>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</si>
  <si>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</si>
  <si>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</si>
  <si>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</si>
  <si>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</si>
  <si>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</si>
  <si>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</si>
  <si>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</si>
  <si>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</si>
  <si>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</si>
  <si>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</si>
  <si>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</si>
  <si>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</si>
  <si>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</si>
  <si>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</si>
  <si>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</si>
  <si>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</si>
  <si>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</si>
  <si>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</si>
  <si>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</si>
  <si>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</si>
  <si>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</si>
  <si>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</si>
  <si>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</si>
  <si>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</si>
  <si>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</si>
  <si>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</si>
  <si>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</si>
  <si>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</si>
  <si>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</si>
  <si>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</si>
  <si>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</si>
  <si>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</si>
  <si>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</si>
  <si>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</si>
  <si>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</si>
  <si>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</si>
  <si>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</si>
  <si>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</si>
  <si>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</si>
  <si>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</si>
  <si>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</si>
  <si>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</si>
  <si>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</si>
  <si>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</si>
  <si>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</si>
  <si>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</si>
  <si>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</si>
  <si>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</si>
  <si>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</si>
  <si>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</si>
  <si>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</si>
  <si>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</si>
  <si>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</si>
  <si>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</si>
  <si>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</si>
  <si>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</si>
  <si>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</si>
  <si>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</si>
  <si>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</si>
  <si>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</si>
  <si>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</si>
  <si>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</si>
  <si>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</si>
  <si>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</si>
  <si>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</si>
  <si>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</si>
  <si>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</si>
  <si>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</si>
  <si>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</si>
  <si>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</si>
  <si>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</si>
  <si>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</si>
  <si>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</si>
  <si>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</si>
  <si>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</si>
  <si>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</si>
  <si>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</si>
  <si>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</si>
  <si>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</si>
  <si>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</si>
  <si>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</si>
  <si>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</si>
  <si>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</si>
  <si>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</si>
  <si>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</si>
  <si>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</si>
  <si>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</si>
  <si>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</si>
  <si>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</si>
  <si>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</si>
  <si>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</si>
  <si>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</si>
  <si>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</si>
  <si>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</si>
  <si>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</si>
  <si>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</si>
  <si>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</si>
  <si>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</si>
  <si>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</si>
  <si>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</si>
  <si>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</si>
  <si>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</si>
  <si>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</si>
  <si>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</si>
  <si>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</si>
  <si>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</si>
  <si>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</si>
  <si>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</si>
  <si>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</si>
  <si>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</si>
  <si>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</si>
  <si>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</si>
  <si>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</si>
  <si>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</si>
  <si>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</si>
  <si>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</si>
  <si>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</si>
  <si>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</si>
  <si>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</si>
  <si>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</si>
  <si>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</si>
  <si>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</si>
  <si>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</si>
  <si>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</si>
  <si>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</si>
  <si>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</si>
  <si>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</si>
  <si>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</si>
  <si>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</si>
  <si>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</si>
  <si>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</si>
  <si>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</si>
  <si>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</si>
  <si>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</si>
  <si>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</si>
  <si>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</si>
  <si>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</si>
  <si>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</si>
  <si>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</si>
  <si>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</si>
  <si>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</si>
  <si>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</si>
  <si>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</si>
  <si>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</si>
  <si>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</si>
  <si>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</si>
  <si>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</si>
  <si>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</si>
  <si>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</si>
  <si>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</si>
  <si>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</si>
  <si>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</si>
  <si>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</si>
  <si>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</si>
  <si>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</si>
  <si>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</si>
  <si>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</si>
  <si>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</si>
  <si>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</si>
  <si>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</si>
  <si>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</si>
  <si>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</si>
  <si>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</si>
  <si>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</si>
  <si>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</si>
  <si>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</si>
  <si>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</si>
  <si>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</si>
  <si>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</si>
  <si>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</si>
  <si>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</si>
  <si>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</si>
  <si>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</si>
  <si>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</si>
  <si>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</si>
  <si>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</si>
  <si>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</si>
  <si>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</si>
  <si>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</si>
  <si>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</si>
  <si>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</si>
  <si>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</si>
  <si>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</si>
  <si>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</si>
  <si>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</si>
  <si>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</si>
  <si>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</si>
  <si>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</si>
  <si>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</si>
  <si>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</si>
  <si>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</si>
  <si>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</si>
  <si>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</si>
  <si>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</si>
  <si>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</si>
  <si>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</si>
  <si>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</si>
  <si>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</si>
  <si>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</si>
  <si>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</si>
  <si>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</si>
  <si>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</si>
  <si>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</si>
  <si>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</si>
  <si>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</si>
  <si>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</si>
  <si>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</si>
  <si>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</si>
  <si>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</si>
  <si>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</si>
  <si>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</si>
  <si>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</si>
  <si>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</si>
  <si>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</si>
  <si>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</si>
  <si>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</si>
  <si>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</si>
  <si>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</si>
  <si>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</si>
  <si>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</si>
  <si>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</si>
  <si>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</si>
  <si>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</si>
  <si>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</si>
  <si>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</si>
  <si>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</si>
  <si>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</si>
  <si>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</si>
  <si>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</si>
  <si>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</si>
  <si>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</si>
  <si>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</si>
  <si>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</si>
  <si>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</si>
  <si>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</si>
  <si>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</si>
  <si>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</si>
  <si>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</si>
  <si>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</si>
  <si>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</si>
  <si>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</si>
  <si>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</si>
  <si>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</si>
  <si>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</si>
  <si>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</si>
  <si>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negócios respondida através de alguma análise de dado específica</t>
  </si>
  <si>
    <t>Pergunta de négocios 1 - Qual o faturamento total de vendas de planos anuais (contendo todas as assinaturas agregadas)</t>
  </si>
  <si>
    <t>Soma de Total Value</t>
  </si>
  <si>
    <t xml:space="preserve">Pergunta de neg[ocios 2 - Qual  faturamento total de vendas de planos anuais, separado por auto renovação não é por auto renovação </t>
  </si>
  <si>
    <t>Rótulos de Linha</t>
  </si>
  <si>
    <t>Total Geral</t>
  </si>
  <si>
    <t>XBOX GAME PASS SUBSCRIPTIONS SALES</t>
  </si>
  <si>
    <t xml:space="preserve">Pergunta de negócio 3 - Total de vendas de assinatura do EA Play </t>
  </si>
  <si>
    <t>Soma de EA Play Season Pass</t>
  </si>
  <si>
    <t>Pergunta de negpocios 4 - Total de vendas de assinatura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</si>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</sst>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1" fillId="0" borderId="2" xfId="1" applyBorder="1"/>
    <xf numFmtId="164" fontId="0" fillId="0" borderId="0" xfId="0" applyNumberFormat="1"/>
    <xf numFmtId="0" fontId="0" fillId="0" borderId="2" xfId="0" applyBorder="1"/>
    <xf numFmtId="0" fontId="5" fillId="0" borderId="2" xfId="1" applyFont="1" applyBorder="1" applyAlignment="1">
      <alignment horizontal="left" indent="8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2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SlicerStyleLight6 2" pivot="0" table="0" count="10" xr9:uid="{27FB13C4-DE78-4F0A-BE73-C5DB357EFAB6}">
      <tableStyleElement type="wholeTable" dxfId="19"/>
      <tableStyleElement type="headerRow" dxfId="18"/>
    </tableStyle>
    <tableStyle name="SlicerStyleLight6 2 2" pivot="0" table="0" count="10" xr9:uid="{260D9385-8798-4A0B-8483-1727CCEBBDEE}">
      <tableStyleElement type="wholeTable" dxfId="17"/>
      <tableStyleElement type="headerRow" dxfId="16"/>
    </tableStyle>
    <tableStyle name="SlicerStyleLight6 2 2 2" pivot="0" table="0" count="10" xr9:uid="{CD0912C7-59DA-400E-AE99-59F9372BF91C}">
      <tableStyleElement type="wholeTable" dxfId="15"/>
      <tableStyleElement type="headerRow" dxfId="14"/>
    </tableStyle>
  </tableStyles>
  <colors>
    <mruColors>
      <color rgb="FF22C55E"/>
      <color rgb="FF5BF6A8"/>
      <color rgb="FFF7F8FC"/>
      <color rgb="FFE8E6E9"/>
      <color rgb="FF2AE6B1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4"/>
  </c:pivotSource>
  <c:chart>
    <c:autoTitleDeleted val="1"/>
    <c:pivotFmts>
      <c:pivotFmt>
        <c:idx val="0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1463610388027259E-2"/>
          <c:y val="0.12094116919078632"/>
          <c:w val="0.93889591102326886"/>
          <c:h val="0.835836826879940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10-4B06-B7D4-FA6B2896F5A3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10-4B06-B7D4-FA6B2896F5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10-4B06-B7D4-FA6B2896F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873967"/>
        <c:axId val="186873487"/>
      </c:barChart>
      <c:catAx>
        <c:axId val="18687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73487"/>
        <c:crosses val="autoZero"/>
        <c:auto val="1"/>
        <c:lblAlgn val="ctr"/>
        <c:lblOffset val="100"/>
        <c:noMultiLvlLbl val="0"/>
      </c:catAx>
      <c:valAx>
        <c:axId val="18687348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687396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155575</xdr:colOff>
      <xdr:row>1</xdr:row>
      <xdr:rowOff>50010</xdr:rowOff>
    </xdr:from>
    <xdr:to>
      <xdr:col>2</xdr:col>
      <xdr:colOff>571500</xdr:colOff>
      <xdr:row>2</xdr:row>
      <xdr:rowOff>130530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EBBF35-681D-4511-A220-ED2AD786C1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5090"/>
        <a:stretch>
          <a:fillRect/>
        </a:stretch>
      </xdr:blipFill>
      <xdr:spPr>
        <a:xfrm>
          <a:off x="2162175" y="240510"/>
          <a:ext cx="657225" cy="575820"/>
        </a:xfrm>
        <a:prstGeom prst="rect">
          <a:avLst/>
        </a:prstGeom>
      </xdr:spPr>
    </xdr:pic>
    <xdr:clientData/>
  </xdr:twoCellAnchor>
  <xdr:twoCellAnchor editAs="oneCell">
    <xdr:from>
      <xdr:col>0</xdr:col>
      <xdr:colOff>52389</xdr:colOff>
      <xdr:row>6</xdr:row>
      <xdr:rowOff>8730</xdr:rowOff>
    </xdr:from>
    <xdr:to>
      <xdr:col>0</xdr:col>
      <xdr:colOff>1940719</xdr:colOff>
      <xdr:row>12</xdr:row>
      <xdr:rowOff>34925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E777CEF-DA33-4358-B981-D8E7D92371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389" y="1521524"/>
              <a:ext cx="1888330" cy="13260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495300</xdr:colOff>
      <xdr:row>6</xdr:row>
      <xdr:rowOff>114300</xdr:rowOff>
    </xdr:from>
    <xdr:to>
      <xdr:col>10</xdr:col>
      <xdr:colOff>114300</xdr:colOff>
      <xdr:row>12</xdr:row>
      <xdr:rowOff>177800</xdr:rowOff>
    </xdr:to>
    <xdr:sp macro="" textlink="C̳álculos!R37">
      <xdr:nvSpPr>
        <xdr:cNvPr id="8" name="Retângulo: Cantos Arredondados 7">
          <a:extLst>
            <a:ext uri="{FF2B5EF4-FFF2-40B4-BE49-F238E27FC236}">
              <a16:creationId xmlns:a16="http://schemas.microsoft.com/office/drawing/2014/main" id="{5DA0EF34-8BFB-5F72-3605-A4931835F470}"/>
            </a:ext>
          </a:extLst>
        </xdr:cNvPr>
        <xdr:cNvSpPr/>
      </xdr:nvSpPr>
      <xdr:spPr>
        <a:xfrm>
          <a:off x="2743200" y="1638300"/>
          <a:ext cx="4495800" cy="1371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806A467-1C9E-463C-ABFB-27DD6A995E07}" type="TxLink">
            <a:rPr lang="en-US" sz="4800" b="0" i="0" u="none" strike="noStrike">
              <a:solidFill>
                <a:srgbClr val="22C55E"/>
              </a:solidFill>
              <a:latin typeface="Aptos Narrow"/>
            </a:rPr>
            <a:pPr algn="ctr"/>
            <a:t> </a:t>
          </a:fld>
          <a:endParaRPr lang="pt-BR" sz="4800">
            <a:solidFill>
              <a:srgbClr val="22C55E"/>
            </a:solidFill>
          </a:endParaRPr>
        </a:p>
      </xdr:txBody>
    </xdr:sp>
    <xdr:clientData/>
  </xdr:twoCellAnchor>
  <xdr:twoCellAnchor>
    <xdr:from>
      <xdr:col>1</xdr:col>
      <xdr:colOff>230840</xdr:colOff>
      <xdr:row>5</xdr:row>
      <xdr:rowOff>108325</xdr:rowOff>
    </xdr:from>
    <xdr:to>
      <xdr:col>10</xdr:col>
      <xdr:colOff>427317</xdr:colOff>
      <xdr:row>14</xdr:row>
      <xdr:rowOff>171078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C497C9C2-BC75-E61D-65C4-FDECC18F8A0D}"/>
            </a:ext>
          </a:extLst>
        </xdr:cNvPr>
        <xdr:cNvGrpSpPr/>
      </xdr:nvGrpSpPr>
      <xdr:grpSpPr>
        <a:xfrm>
          <a:off x="2242996" y="1501356"/>
          <a:ext cx="5292352" cy="1872503"/>
          <a:chOff x="2260600" y="1358900"/>
          <a:chExt cx="5308600" cy="1892300"/>
        </a:xfrm>
      </xdr:grpSpPr>
      <xdr:sp macro="" textlink="C̳álculos!D24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5C8D43D-BCFA-FF61-954A-AA0798AC14F0}"/>
              </a:ext>
            </a:extLst>
          </xdr:cNvPr>
          <xdr:cNvSpPr/>
        </xdr:nvSpPr>
        <xdr:spPr>
          <a:xfrm>
            <a:off x="2260600" y="1358900"/>
            <a:ext cx="5283200" cy="18923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A73E448-BDF5-4A6F-B611-F02FA704CCCD}" type="TxLink">
              <a:rPr lang="en-US" sz="4800" b="0" i="0" u="none" strike="noStrike">
                <a:solidFill>
                  <a:srgbClr val="22C55E"/>
                </a:solidFill>
                <a:latin typeface="Aptos Narrow"/>
              </a:rPr>
              <a:pPr algn="ctr"/>
              <a:t>R$ 1.350,00</a:t>
            </a:fld>
            <a:endParaRPr lang="pt-BR" sz="4800">
              <a:solidFill>
                <a:srgbClr val="22C55E"/>
              </a:solidFill>
            </a:endParaRPr>
          </a:p>
        </xdr:txBody>
      </xdr:sp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B1B6E0E4-3897-027A-3499-21D18DE7171D}"/>
              </a:ext>
            </a:extLst>
          </xdr:cNvPr>
          <xdr:cNvSpPr/>
        </xdr:nvSpPr>
        <xdr:spPr>
          <a:xfrm>
            <a:off x="2260600" y="1358900"/>
            <a:ext cx="5308600" cy="4191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BC1AD2AB-B01E-48DA-9805-70D362278D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87600" y="1816100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575234</xdr:colOff>
      <xdr:row>5</xdr:row>
      <xdr:rowOff>108325</xdr:rowOff>
    </xdr:from>
    <xdr:to>
      <xdr:col>19</xdr:col>
      <xdr:colOff>562535</xdr:colOff>
      <xdr:row>14</xdr:row>
      <xdr:rowOff>171078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6CC61CCF-9858-0FF2-4BC5-D9B6F8C46C76}"/>
            </a:ext>
          </a:extLst>
        </xdr:cNvPr>
        <xdr:cNvGrpSpPr/>
      </xdr:nvGrpSpPr>
      <xdr:grpSpPr>
        <a:xfrm>
          <a:off x="7683265" y="1501356"/>
          <a:ext cx="5285583" cy="1872503"/>
          <a:chOff x="7861300" y="1371600"/>
          <a:chExt cx="5308600" cy="1892300"/>
        </a:xfrm>
      </xdr:grpSpPr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89D8E113-A42B-80BF-8A70-8D590CEBE051}"/>
              </a:ext>
            </a:extLst>
          </xdr:cNvPr>
          <xdr:cNvGrpSpPr/>
        </xdr:nvGrpSpPr>
        <xdr:grpSpPr>
          <a:xfrm>
            <a:off x="7861300" y="1371600"/>
            <a:ext cx="5283200" cy="1892300"/>
            <a:chOff x="7861300" y="1371600"/>
            <a:chExt cx="5283200" cy="1892300"/>
          </a:xfrm>
        </xdr:grpSpPr>
        <xdr:sp macro="" textlink="C̳álculos!D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7725AEA6-B599-77D0-05BB-4562EB17560B}"/>
                </a:ext>
              </a:extLst>
            </xdr:cNvPr>
            <xdr:cNvSpPr/>
          </xdr:nvSpPr>
          <xdr:spPr>
            <a:xfrm>
              <a:off x="7861300" y="1371600"/>
              <a:ext cx="5283200" cy="18923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331F140-7719-466D-A227-85DA6B8256BB}" type="TxLink">
                <a:rPr lang="en-US" sz="48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R$ 1.800,00</a:t>
              </a:fld>
              <a:endParaRPr lang="pt-BR" sz="4800">
                <a:solidFill>
                  <a:srgbClr val="22C55E"/>
                </a:solidFill>
              </a:endParaRPr>
            </a:p>
          </xdr:txBody>
        </xdr:sp>
        <xdr:grpSp>
          <xdr:nvGrpSpPr>
            <xdr:cNvPr id="26" name="Agrupar 25">
              <a:extLst>
                <a:ext uri="{FF2B5EF4-FFF2-40B4-BE49-F238E27FC236}">
                  <a16:creationId xmlns:a16="http://schemas.microsoft.com/office/drawing/2014/main" id="{725EE9FB-E2E2-495D-9EE2-BBB675884A4D}"/>
                </a:ext>
              </a:extLst>
            </xdr:cNvPr>
            <xdr:cNvGrpSpPr/>
          </xdr:nvGrpSpPr>
          <xdr:grpSpPr>
            <a:xfrm>
              <a:off x="8051800" y="2070100"/>
              <a:ext cx="889000" cy="457200"/>
              <a:chOff x="3495675" y="5400674"/>
              <a:chExt cx="1549476" cy="752476"/>
            </a:xfrm>
          </xdr:grpSpPr>
          <xdr:pic>
            <xdr:nvPicPr>
              <xdr:cNvPr id="27" name="Imagem 26">
                <a:extLst>
                  <a:ext uri="{FF2B5EF4-FFF2-40B4-BE49-F238E27FC236}">
                    <a16:creationId xmlns:a16="http://schemas.microsoft.com/office/drawing/2014/main" id="{E6645FBB-DAD7-9E40-530A-DEA9F0FC02A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8" name="Gráfico 27">
                <a:extLst>
                  <a:ext uri="{FF2B5EF4-FFF2-40B4-BE49-F238E27FC236}">
                    <a16:creationId xmlns:a16="http://schemas.microsoft.com/office/drawing/2014/main" id="{AF0CFEA9-7359-3891-120E-C9EC0CED2A0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C3B7DD65-06E4-7B8E-4B20-EA3971C6F075}"/>
              </a:ext>
            </a:extLst>
          </xdr:cNvPr>
          <xdr:cNvSpPr/>
        </xdr:nvSpPr>
        <xdr:spPr>
          <a:xfrm>
            <a:off x="7861300" y="1371600"/>
            <a:ext cx="5308600" cy="4191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MINECRAFT SEASON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20918</xdr:colOff>
      <xdr:row>15</xdr:row>
      <xdr:rowOff>182284</xdr:rowOff>
    </xdr:from>
    <xdr:to>
      <xdr:col>20</xdr:col>
      <xdr:colOff>0</xdr:colOff>
      <xdr:row>32</xdr:row>
      <xdr:rowOff>168090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880C1B80-B443-7123-38ED-2F34CF7BEBD7}"/>
            </a:ext>
          </a:extLst>
        </xdr:cNvPr>
        <xdr:cNvGrpSpPr/>
      </xdr:nvGrpSpPr>
      <xdr:grpSpPr>
        <a:xfrm>
          <a:off x="2271199" y="3575565"/>
          <a:ext cx="10742332" cy="3224306"/>
          <a:chOff x="2418976" y="3409576"/>
          <a:chExt cx="10864281" cy="3294155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091294D8-8B09-8005-3D13-EFB77E49A0D9}"/>
              </a:ext>
            </a:extLst>
          </xdr:cNvPr>
          <xdr:cNvGrpSpPr/>
        </xdr:nvGrpSpPr>
        <xdr:grpSpPr>
          <a:xfrm>
            <a:off x="2458660" y="3409576"/>
            <a:ext cx="10824597" cy="3294155"/>
            <a:chOff x="2095498" y="1297781"/>
            <a:chExt cx="4476751" cy="2836191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DF4F8B77-6A84-3B12-5E58-AE91ECE685EA}"/>
                </a:ext>
              </a:extLst>
            </xdr:cNvPr>
            <xdr:cNvSpPr/>
          </xdr:nvSpPr>
          <xdr:spPr>
            <a:xfrm>
              <a:off x="2095498" y="1297781"/>
              <a:ext cx="4476751" cy="2821782"/>
            </a:xfrm>
            <a:prstGeom prst="roundRect">
              <a:avLst/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22C55E"/>
                </a:solidFill>
              </a:endParaRPr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9283108-EAFC-46E4-A907-95493B1C548B}"/>
                </a:ext>
              </a:extLst>
            </xdr:cNvPr>
            <xdr:cNvGraphicFramePr>
              <a:graphicFrameLocks/>
            </xdr:cNvGraphicFramePr>
          </xdr:nvGraphicFramePr>
          <xdr:xfrm>
            <a:off x="2194668" y="1351166"/>
            <a:ext cx="4255313" cy="278280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85152859-C6B7-4561-BF8A-72CD2C8A1CB4}"/>
              </a:ext>
            </a:extLst>
          </xdr:cNvPr>
          <xdr:cNvSpPr/>
        </xdr:nvSpPr>
        <xdr:spPr>
          <a:xfrm>
            <a:off x="2418976" y="3409576"/>
            <a:ext cx="10825630" cy="4191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177800</xdr:colOff>
      <xdr:row>1</xdr:row>
      <xdr:rowOff>50800</xdr:rowOff>
    </xdr:from>
    <xdr:to>
      <xdr:col>0</xdr:col>
      <xdr:colOff>873125</xdr:colOff>
      <xdr:row>2</xdr:row>
      <xdr:rowOff>250825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4288DCB7-417F-4A4C-B873-93CA56156410}"/>
            </a:ext>
          </a:extLst>
        </xdr:cNvPr>
        <xdr:cNvSpPr/>
      </xdr:nvSpPr>
      <xdr:spPr>
        <a:xfrm>
          <a:off x="177800" y="24130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88900</xdr:colOff>
      <xdr:row>2</xdr:row>
      <xdr:rowOff>457200</xdr:rowOff>
    </xdr:from>
    <xdr:to>
      <xdr:col>0</xdr:col>
      <xdr:colOff>1663700</xdr:colOff>
      <xdr:row>5</xdr:row>
      <xdr:rowOff>25400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C42E8159-1561-4321-F931-8C9ACC593B05}"/>
            </a:ext>
          </a:extLst>
        </xdr:cNvPr>
        <xdr:cNvSpPr/>
      </xdr:nvSpPr>
      <xdr:spPr>
        <a:xfrm>
          <a:off x="88900" y="1143000"/>
          <a:ext cx="15748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/>
            <a:t>&gt; bem vinda Lara</a:t>
          </a:r>
        </a:p>
      </xdr:txBody>
    </xdr:sp>
    <xdr:clientData/>
  </xdr:twoCellAnchor>
  <xdr:twoCellAnchor>
    <xdr:from>
      <xdr:col>1</xdr:col>
      <xdr:colOff>190500</xdr:colOff>
      <xdr:row>3</xdr:row>
      <xdr:rowOff>0</xdr:rowOff>
    </xdr:from>
    <xdr:to>
      <xdr:col>12</xdr:col>
      <xdr:colOff>22412</xdr:colOff>
      <xdr:row>6</xdr:row>
      <xdr:rowOff>22412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719A47D6-863D-0B09-17C9-1363D0C3A1EE}"/>
            </a:ext>
          </a:extLst>
        </xdr:cNvPr>
        <xdr:cNvSpPr/>
      </xdr:nvSpPr>
      <xdr:spPr>
        <a:xfrm>
          <a:off x="2196353" y="1176618"/>
          <a:ext cx="5950324" cy="3585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="0">
              <a:solidFill>
                <a:schemeClr val="bg1">
                  <a:lumMod val="50000"/>
                </a:schemeClr>
              </a:solidFill>
            </a:rPr>
            <a:t>Período de apuração: 01/01/2024 ~31/12/2024   I Data</a:t>
          </a:r>
          <a:r>
            <a:rPr lang="pt-BR" sz="1000" b="0" baseline="0">
              <a:solidFill>
                <a:schemeClr val="bg1">
                  <a:lumMod val="50000"/>
                </a:schemeClr>
              </a:solidFill>
            </a:rPr>
            <a:t> de atualização: 12/02/2025   13:10:25</a:t>
          </a:r>
          <a:endParaRPr lang="pt-BR" sz="10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kic" refreshedDate="46065.764568402781" createdVersion="8" refreshedVersion="8" minRefreshableVersion="3" recordCount="295" xr:uid="{548F9E12-C5F4-4966-A887-4AF10E36FAF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341302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5B2E1-BA26-4CB3-8A57-99454744AECE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64E26-29AB-466A-A331-5842D1E09459}" name="Tabela easeasontype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4FE42-863D-430F-B64B-EA47986952C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49588D5-B788-480D-8123-A36AFEF966A0}" sourceName="Subscription Type">
  <pivotTables>
    <pivotTable tabId="3" name="Tabela dinâmica1"/>
    <pivotTable tabId="3" name="Tabela easeasontype4"/>
    <pivotTable tabId="3" name="Tabela dinâmica5"/>
  </pivotTables>
  <data>
    <tabular pivotCacheId="123413024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18BCE85-6F63-492D-B196-90537E58313B}" cache="SegmentaçãodeDados_Subscription_Type" caption="Subscription Type" style="SlicerStyleLight6 2 2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E30" sqref="E3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31" zoomScale="90" zoomScaleNormal="90" workbookViewId="0">
      <selection activeCell="E30" sqref="E3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6"/>
  <sheetViews>
    <sheetView showGridLines="0" topLeftCell="A22" workbookViewId="0">
      <selection activeCell="E30" sqref="E30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313</v>
      </c>
      <c r="C3" s="19"/>
      <c r="D3" s="19"/>
      <c r="E3" s="19"/>
      <c r="F3" s="19"/>
    </row>
    <row r="5" spans="2:6" x14ac:dyDescent="0.25">
      <c r="B5" t="s">
        <v>314</v>
      </c>
    </row>
    <row r="6" spans="2:6" x14ac:dyDescent="0.25">
      <c r="B6" t="s">
        <v>316</v>
      </c>
    </row>
    <row r="8" spans="2:6" x14ac:dyDescent="0.25">
      <c r="B8" s="12" t="s">
        <v>16</v>
      </c>
      <c r="C8" t="s">
        <v>20</v>
      </c>
    </row>
    <row r="10" spans="2:6" x14ac:dyDescent="0.25">
      <c r="B10" s="12" t="s">
        <v>317</v>
      </c>
      <c r="C10" t="s">
        <v>315</v>
      </c>
    </row>
    <row r="11" spans="2:6" x14ac:dyDescent="0.25">
      <c r="B11" s="14" t="s">
        <v>23</v>
      </c>
      <c r="C11" s="13">
        <v>2824</v>
      </c>
    </row>
    <row r="12" spans="2:6" x14ac:dyDescent="0.25">
      <c r="B12" s="14" t="s">
        <v>19</v>
      </c>
      <c r="C12" s="13">
        <v>747</v>
      </c>
    </row>
    <row r="13" spans="2:6" x14ac:dyDescent="0.25">
      <c r="B13" s="14" t="s">
        <v>318</v>
      </c>
      <c r="C13" s="13">
        <v>3571</v>
      </c>
    </row>
    <row r="17" spans="2:4" x14ac:dyDescent="0.25">
      <c r="B17" t="s">
        <v>320</v>
      </c>
    </row>
    <row r="19" spans="2:4" x14ac:dyDescent="0.25">
      <c r="B19" s="12" t="s">
        <v>16</v>
      </c>
      <c r="C19" t="s">
        <v>20</v>
      </c>
    </row>
    <row r="21" spans="2:4" x14ac:dyDescent="0.25">
      <c r="B21" s="12" t="s">
        <v>317</v>
      </c>
      <c r="C21" t="s">
        <v>321</v>
      </c>
    </row>
    <row r="22" spans="2:4" x14ac:dyDescent="0.25">
      <c r="B22" s="14" t="s">
        <v>22</v>
      </c>
      <c r="C22">
        <v>0</v>
      </c>
    </row>
    <row r="23" spans="2:4" x14ac:dyDescent="0.25">
      <c r="B23" s="14" t="s">
        <v>26</v>
      </c>
      <c r="C23">
        <v>0</v>
      </c>
    </row>
    <row r="24" spans="2:4" x14ac:dyDescent="0.25">
      <c r="B24" s="14" t="s">
        <v>18</v>
      </c>
      <c r="C24">
        <v>1350</v>
      </c>
      <c r="D24" s="16">
        <f>GETPIVOTDATA("EA Play Season Pass
Price",$B$21,"Plan","Ultimate")</f>
        <v>1350</v>
      </c>
    </row>
    <row r="25" spans="2:4" x14ac:dyDescent="0.25">
      <c r="B25" s="14" t="s">
        <v>318</v>
      </c>
      <c r="C25">
        <v>1350</v>
      </c>
    </row>
    <row r="28" spans="2:4" x14ac:dyDescent="0.25">
      <c r="B28" s="14" t="s">
        <v>322</v>
      </c>
    </row>
    <row r="30" spans="2:4" x14ac:dyDescent="0.25">
      <c r="B30" s="12" t="s">
        <v>16</v>
      </c>
      <c r="C30" t="s">
        <v>20</v>
      </c>
    </row>
    <row r="32" spans="2:4" x14ac:dyDescent="0.25">
      <c r="B32" s="12" t="s">
        <v>317</v>
      </c>
      <c r="C32" t="s">
        <v>323</v>
      </c>
    </row>
    <row r="33" spans="2:4" x14ac:dyDescent="0.25">
      <c r="B33" s="14" t="s">
        <v>22</v>
      </c>
      <c r="C33" s="13">
        <v>0</v>
      </c>
    </row>
    <row r="34" spans="2:4" x14ac:dyDescent="0.25">
      <c r="B34" s="14" t="s">
        <v>26</v>
      </c>
      <c r="C34" s="13">
        <v>900</v>
      </c>
    </row>
    <row r="35" spans="2:4" x14ac:dyDescent="0.25">
      <c r="B35" s="14" t="s">
        <v>18</v>
      </c>
      <c r="C35" s="13">
        <v>900</v>
      </c>
    </row>
    <row r="36" spans="2:4" x14ac:dyDescent="0.25">
      <c r="B36" s="14" t="s">
        <v>318</v>
      </c>
      <c r="C36" s="13">
        <v>1800</v>
      </c>
      <c r="D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8"/>
  <sheetViews>
    <sheetView showGridLines="0" showRowColHeaders="0" tabSelected="1" zoomScale="80" zoomScaleNormal="80" workbookViewId="0">
      <selection activeCell="X3" sqref="X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0.140625" style="4" customWidth="1"/>
    <col min="2" max="2" width="3.5703125" style="7" customWidth="1"/>
    <col min="3" max="11" width="9.140625" style="7"/>
    <col min="12" max="12" width="6.5703125" style="7" customWidth="1"/>
    <col min="13" max="16384" width="9.140625" style="7"/>
  </cols>
  <sheetData>
    <row r="1" spans="1:20" customFormat="1" x14ac:dyDescent="0.25">
      <c r="A1" s="4"/>
    </row>
    <row r="2" spans="1:20" customFormat="1" ht="39" customHeight="1" thickBot="1" x14ac:dyDescent="0.5">
      <c r="A2" s="4"/>
      <c r="C2" s="18" t="s">
        <v>319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"/>
      <c r="Q2" s="17"/>
      <c r="R2" s="17"/>
      <c r="S2" s="17"/>
      <c r="T2" s="17"/>
    </row>
    <row r="3" spans="1:20" customFormat="1" ht="39" customHeight="1" thickTop="1" x14ac:dyDescent="0.25">
      <c r="A3" s="4"/>
    </row>
    <row r="4" spans="1:20" ht="8.25" customHeight="1" x14ac:dyDescent="0.25"/>
    <row r="5" spans="1:20" ht="7.5" customHeight="1" x14ac:dyDescent="0.25"/>
    <row r="6" spans="1:20" ht="10.5" customHeight="1" x14ac:dyDescent="0.25"/>
    <row r="7" spans="1:20" ht="9.75" customHeight="1" x14ac:dyDescent="0.25"/>
    <row r="8" spans="1:20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Cristina Yuki</cp:lastModifiedBy>
  <dcterms:created xsi:type="dcterms:W3CDTF">2024-12-19T13:13:10Z</dcterms:created>
  <dcterms:modified xsi:type="dcterms:W3CDTF">2026-02-12T23:26:01Z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